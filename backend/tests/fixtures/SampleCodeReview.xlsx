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https://teo1dk-my.sharepoint.com/personal/mehrosh_mehboob_teo-intl_com/Documents/TeoMiscStuff/TEP code review/Code Reviews 2026/"/>
    </mc:Choice>
  </mc:AlternateContent>
  <xr:revisionPtr revIDLastSave="3" documentId="13_ncr:1_{6D34120B-B8E0-C945-94EA-AC12EBDFC95D}" xr6:coauthVersionLast="47" xr6:coauthVersionMax="47" xr10:uidLastSave="{711048E8-19ED-7748-84F2-72F7F88EC943}"/>
  <bookViews>
    <workbookView xWindow="1300" yWindow="780" windowWidth="30240" windowHeight="1898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6" l="1"/>
  <c r="D17" i="6"/>
  <c r="D11" i="6"/>
  <c r="D28" i="6"/>
  <c r="E28" i="6" l="1"/>
  <c r="F28" i="6" s="1"/>
  <c r="E23" i="6"/>
  <c r="F23" i="6" s="1"/>
  <c r="E17" i="6"/>
  <c r="F17" i="6" s="1"/>
  <c r="E11" i="6"/>
  <c r="F11" i="6" s="1"/>
  <c r="D3" i="6"/>
  <c r="E3" i="6" s="1"/>
  <c r="F3" i="6" s="1"/>
  <c r="C32" i="6"/>
  <c r="E32" i="6" l="1"/>
  <c r="F32" i="6" s="1"/>
  <c r="C34" i="6" l="1"/>
  <c r="C35" i="6"/>
</calcChain>
</file>

<file path=xl/sharedStrings.xml><?xml version="1.0" encoding="utf-8"?>
<sst xmlns="http://schemas.openxmlformats.org/spreadsheetml/2006/main" count="45" uniqueCount="45">
  <si>
    <t>Clause</t>
  </si>
  <si>
    <t>Weight</t>
  </si>
  <si>
    <t>Avg Points</t>
  </si>
  <si>
    <t>Final Points</t>
  </si>
  <si>
    <t>% Points</t>
  </si>
  <si>
    <t>Remarks</t>
  </si>
  <si>
    <t xml:space="preserve"> Code naming conventions/ Code Structure</t>
  </si>
  <si>
    <t>Total</t>
  </si>
  <si>
    <t>Percentage Score</t>
  </si>
  <si>
    <t>Points Score</t>
  </si>
  <si>
    <t xml:space="preserve">Reviewers: </t>
  </si>
  <si>
    <t>Clear and consistent naming conventions</t>
  </si>
  <si>
    <t>Clean structure, formatting, and file organization</t>
  </si>
  <si>
    <t>No unused, dead, or commented code</t>
  </si>
  <si>
    <t>No compile-time warnings</t>
  </si>
  <si>
    <t>No unused dependencies</t>
  </si>
  <si>
    <t>Proper exception handling</t>
  </si>
  <si>
    <t>Centralized logging with correct levels</t>
  </si>
  <si>
    <t>No sensitive data stored or logged</t>
  </si>
  <si>
    <t>Reliability, Security &amp; Observability</t>
  </si>
  <si>
    <t>PR-based workflow with CI/CD</t>
  </si>
  <si>
    <t>Delivery Discipline &amp; Architecture</t>
  </si>
  <si>
    <t>Author can explain AI-generated logic when asked</t>
  </si>
  <si>
    <t>AI Usage &amp; Code Ownership</t>
  </si>
  <si>
    <t>AI-generated code blends seamlessly with existing code style</t>
  </si>
  <si>
    <t>No security vulnerabilities introduced</t>
  </si>
  <si>
    <t>Safe &amp; Integrated AI Code</t>
  </si>
  <si>
    <t>Latest compile, target sdk and gradle versions</t>
  </si>
  <si>
    <t>Architecture and SOLID principles followed</t>
  </si>
  <si>
    <t>branching strategies as per gitflow</t>
  </si>
  <si>
    <t>Keystore information should be stored in env. Or gradle</t>
  </si>
  <si>
    <t>Automated tests executed, Ensure min 90% project code coverage</t>
  </si>
  <si>
    <t>AI usage declared in PR comments along with tool name  (e.g., Copilot, ChatGPT, Azure OpenAI)</t>
  </si>
  <si>
    <t>No unexplained or uncommented complex logic, No blind copy-paste</t>
  </si>
  <si>
    <t>No suspicious patterns, hallucinated APIs, or unsafe storage</t>
  </si>
  <si>
    <t>Dated</t>
  </si>
  <si>
    <t>Very few classes shows weak warnings.</t>
  </si>
  <si>
    <t>gradle and library and sdk versions need to be upto date.</t>
  </si>
  <si>
    <t>Log exceptions properly on crashlytics. Most of the exceptions are handled by printing stacktraces only.</t>
  </si>
  <si>
    <t xml:space="preserve">Not Applicable. Code base is too old and there are not any changes being made, recently. </t>
  </si>
  <si>
    <t>Not Applicable</t>
  </si>
  <si>
    <t>Unit test coverage is very low. Even below expected level.</t>
  </si>
  <si>
    <r>
      <t xml:space="preserve">General Remarks: </t>
    </r>
    <r>
      <rPr>
        <sz val="12"/>
        <color theme="1"/>
        <rFont val="Calibri"/>
        <family val="2"/>
        <scheme val="minor"/>
      </rPr>
      <t>Overall code quality is fine. Exception handling and unit test need a lot of improvement. AI is not used because no active development is being observed from a long time period.</t>
    </r>
  </si>
  <si>
    <t>&lt;Project Name&gt;</t>
  </si>
  <si>
    <t>&lt;reviewer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</si>
</sst>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9" fillId="3" borderId="0" xfId="0" applyFont="1" applyFill="1" applyAlignment="1">
      <alignment horizontal="left" vertical="top"/>
    </xf>
    <xf numFmtId="9" fontId="9" fillId="0" borderId="0" xfId="1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1" fontId="8" fillId="0" borderId="0" xfId="0" applyNumberFormat="1" applyFont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left" vertical="top"/>
    </xf>
    <xf numFmtId="2" fontId="15" fillId="4" borderId="0" xfId="0" applyNumberFormat="1" applyFont="1" applyFill="1" applyAlignment="1">
      <alignment vertical="top"/>
    </xf>
    <xf numFmtId="2" fontId="15" fillId="4" borderId="0" xfId="0" applyNumberFormat="1" applyFont="1" applyFill="1" applyAlignment="1">
      <alignment horizontal="right" vertical="top"/>
    </xf>
    <xf numFmtId="9" fontId="15" fillId="4" borderId="0" xfId="1" applyFont="1" applyFill="1" applyAlignment="1">
      <alignment horizontal="center" vertical="top"/>
    </xf>
    <xf numFmtId="2" fontId="9" fillId="4" borderId="0" xfId="0" applyNumberFormat="1" applyFont="1" applyFill="1" applyAlignment="1">
      <alignment horizontal="right" vertical="top"/>
    </xf>
    <xf numFmtId="2" fontId="9" fillId="4" borderId="0" xfId="0" applyNumberFormat="1" applyFont="1" applyFill="1" applyAlignment="1">
      <alignment vertical="top"/>
    </xf>
    <xf numFmtId="0" fontId="9" fillId="5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14" fontId="9" fillId="0" borderId="0" xfId="0" applyNumberFormat="1" applyFont="1" applyAlignment="1">
      <alignment horizontal="right"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0" fillId="2" borderId="0" xfId="0" applyFont="1" applyFill="1" applyAlignment="1">
      <alignment horizontal="center" vertical="top"/>
    </xf>
    <xf numFmtId="9" fontId="11" fillId="2" borderId="1" xfId="1" applyFont="1" applyFill="1" applyBorder="1" applyAlignment="1">
      <alignment horizontal="center" vertical="top"/>
    </xf>
    <xf numFmtId="9" fontId="11" fillId="2" borderId="2" xfId="1" applyFont="1" applyFill="1" applyBorder="1" applyAlignment="1">
      <alignment horizontal="center" vertical="top"/>
    </xf>
    <xf numFmtId="9" fontId="11" fillId="2" borderId="3" xfId="1" applyFont="1" applyFill="1" applyBorder="1" applyAlignment="1">
      <alignment horizontal="center" vertical="top"/>
    </xf>
    <xf numFmtId="0" fontId="11" fillId="2" borderId="1" xfId="1" applyNumberFormat="1" applyFont="1" applyFill="1" applyBorder="1" applyAlignment="1">
      <alignment horizontal="center" vertical="top"/>
    </xf>
    <xf numFmtId="0" fontId="11" fillId="2" borderId="2" xfId="1" applyNumberFormat="1" applyFont="1" applyFill="1" applyBorder="1" applyAlignment="1">
      <alignment horizontal="center" vertical="top"/>
    </xf>
    <xf numFmtId="0" fontId="11" fillId="2" borderId="3" xfId="1" applyNumberFormat="1" applyFont="1" applyFill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4" xfId="0" applyFont="1" applyBorder="1" applyAlignment="1">
      <alignment horizontal="left" vertical="top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13" zoomScale="140" zoomScaleNormal="140" workbookViewId="0">
      <selection activeCell="B35" sqref="B35"/>
    </sheetView>
  </sheetViews>
  <sheetFormatPr baseColWidth="10" defaultColWidth="10.6640625" defaultRowHeight="16" x14ac:dyDescent="0.2"/>
  <cols>
    <col min="1" max="1" width="8.6640625" style="4" customWidth="1"/>
    <col min="2" max="2" width="76.83203125" style="4" customWidth="1"/>
    <col min="3" max="3" width="23.1640625" style="5" customWidth="1"/>
    <col min="4" max="4" width="18.1640625" style="3" customWidth="1"/>
    <col min="5" max="5" width="13.5" style="6" customWidth="1"/>
    <col min="6" max="6" width="11" style="3" customWidth="1"/>
    <col min="7" max="7" width="73.33203125" style="7" customWidth="1"/>
    <col min="8" max="16384" width="10.6640625" style="3"/>
  </cols>
  <sheetData>
    <row r="1" spans="1:7" s="1" customFormat="1" ht="29" x14ac:dyDescent="0.2">
      <c r="A1" s="37" t="s">
        <v>43</v>
      </c>
      <c r="B1" s="37"/>
      <c r="C1" s="37"/>
      <c r="D1" s="37"/>
      <c r="E1" s="37"/>
      <c r="F1" s="37"/>
      <c r="G1" s="37"/>
    </row>
    <row r="2" spans="1:7" s="2" customFormat="1" ht="20" x14ac:dyDescent="0.2">
      <c r="A2" s="8" t="s">
        <v>0</v>
      </c>
      <c r="B2" s="8"/>
      <c r="C2" s="9" t="s">
        <v>1</v>
      </c>
      <c r="D2" s="2" t="s">
        <v>2</v>
      </c>
      <c r="E2" s="9" t="s">
        <v>3</v>
      </c>
      <c r="F2" s="10" t="s">
        <v>4</v>
      </c>
      <c r="G2" s="11" t="s">
        <v>5</v>
      </c>
    </row>
    <row r="3" spans="1:7" x14ac:dyDescent="0.2">
      <c r="A3" s="4">
        <v>1</v>
      </c>
      <c r="B3" s="12" t="s">
        <v>6</v>
      </c>
      <c r="C3" s="5">
        <v>1</v>
      </c>
      <c r="D3" s="23">
        <f>AVERAGE(D4:D9)</f>
        <v>0.83333333333333337</v>
      </c>
      <c r="E3" s="24">
        <f>D3*C3</f>
        <v>0.83333333333333337</v>
      </c>
      <c r="F3" s="25">
        <f>E3/C3</f>
        <v>0.83333333333333337</v>
      </c>
    </row>
    <row r="4" spans="1:7" x14ac:dyDescent="0.2">
      <c r="B4" s="14" t="s">
        <v>11</v>
      </c>
      <c r="D4" s="20">
        <v>1</v>
      </c>
    </row>
    <row r="5" spans="1:7" x14ac:dyDescent="0.2">
      <c r="A5" s="4">
        <v>1.2</v>
      </c>
      <c r="B5" s="19" t="s">
        <v>12</v>
      </c>
      <c r="D5" s="20">
        <v>1</v>
      </c>
    </row>
    <row r="6" spans="1:7" x14ac:dyDescent="0.2">
      <c r="A6" s="4">
        <v>1.3</v>
      </c>
      <c r="B6" s="14" t="s">
        <v>13</v>
      </c>
      <c r="D6" s="20">
        <v>1</v>
      </c>
      <c r="G6" s="18"/>
    </row>
    <row r="7" spans="1:7" ht="17" x14ac:dyDescent="0.2">
      <c r="A7" s="22">
        <v>1.4</v>
      </c>
      <c r="B7" s="14" t="s">
        <v>14</v>
      </c>
      <c r="D7" s="20">
        <v>1</v>
      </c>
      <c r="G7" s="34" t="s">
        <v>36</v>
      </c>
    </row>
    <row r="8" spans="1:7" x14ac:dyDescent="0.2">
      <c r="A8" s="4">
        <v>1.5</v>
      </c>
      <c r="B8" s="14" t="s">
        <v>15</v>
      </c>
      <c r="D8" s="20">
        <v>1</v>
      </c>
    </row>
    <row r="9" spans="1:7" ht="17" x14ac:dyDescent="0.2">
      <c r="A9" s="22">
        <v>1.6</v>
      </c>
      <c r="B9" s="29" t="s">
        <v>27</v>
      </c>
      <c r="D9" s="20">
        <v>0</v>
      </c>
      <c r="E9" s="3"/>
      <c r="G9" s="36" t="s">
        <v>37</v>
      </c>
    </row>
    <row r="10" spans="1:7" x14ac:dyDescent="0.2">
      <c r="A10" s="22"/>
      <c r="B10" s="29"/>
      <c r="D10" s="20"/>
      <c r="E10" s="3"/>
    </row>
    <row r="11" spans="1:7" x14ac:dyDescent="0.2">
      <c r="A11" s="4">
        <v>2</v>
      </c>
      <c r="B11" s="12" t="s">
        <v>19</v>
      </c>
      <c r="C11" s="5">
        <v>1</v>
      </c>
      <c r="D11" s="23">
        <f>AVERAGE(D12:D15)</f>
        <v>0.75</v>
      </c>
      <c r="E11" s="24">
        <f>D11*C11</f>
        <v>0.75</v>
      </c>
      <c r="F11" s="25">
        <f>E11/C11</f>
        <v>0.75</v>
      </c>
    </row>
    <row r="12" spans="1:7" ht="34" x14ac:dyDescent="0.2">
      <c r="A12" s="4">
        <v>2.1</v>
      </c>
      <c r="B12" s="14" t="s">
        <v>16</v>
      </c>
      <c r="D12" s="21">
        <v>0</v>
      </c>
      <c r="E12" s="3"/>
      <c r="G12" s="36" t="s">
        <v>38</v>
      </c>
    </row>
    <row r="13" spans="1:7" x14ac:dyDescent="0.2">
      <c r="A13" s="4">
        <v>2.2000000000000002</v>
      </c>
      <c r="B13" s="14" t="s">
        <v>17</v>
      </c>
      <c r="D13" s="21">
        <v>1</v>
      </c>
      <c r="E13" s="3"/>
      <c r="G13" s="35"/>
    </row>
    <row r="14" spans="1:7" x14ac:dyDescent="0.2">
      <c r="A14" s="4">
        <v>2.2999999999999998</v>
      </c>
      <c r="B14" s="14" t="s">
        <v>18</v>
      </c>
      <c r="D14" s="21">
        <v>1</v>
      </c>
      <c r="E14" s="3"/>
    </row>
    <row r="15" spans="1:7" x14ac:dyDescent="0.2">
      <c r="A15" s="4">
        <v>2.4</v>
      </c>
      <c r="B15" s="29" t="s">
        <v>30</v>
      </c>
      <c r="D15" s="3">
        <v>1</v>
      </c>
      <c r="G15" s="30"/>
    </row>
    <row r="16" spans="1:7" x14ac:dyDescent="0.2">
      <c r="B16" s="14"/>
    </row>
    <row r="17" spans="1:7" x14ac:dyDescent="0.2">
      <c r="A17" s="4">
        <v>3</v>
      </c>
      <c r="B17" s="12" t="s">
        <v>21</v>
      </c>
      <c r="C17" s="5">
        <v>1</v>
      </c>
      <c r="D17" s="23">
        <f>AVERAGE(D18:D21)</f>
        <v>0.75</v>
      </c>
      <c r="E17" s="24">
        <f>D17*C17</f>
        <v>0.75</v>
      </c>
      <c r="F17" s="25">
        <f>E17/C17</f>
        <v>0.75</v>
      </c>
    </row>
    <row r="18" spans="1:7" x14ac:dyDescent="0.2">
      <c r="A18" s="4">
        <v>3.1</v>
      </c>
      <c r="B18" s="14" t="s">
        <v>20</v>
      </c>
      <c r="D18" s="20">
        <v>1</v>
      </c>
      <c r="E18" s="3"/>
      <c r="F18" s="13"/>
    </row>
    <row r="19" spans="1:7" ht="17" x14ac:dyDescent="0.2">
      <c r="A19" s="4">
        <v>3.2</v>
      </c>
      <c r="B19" s="32" t="s">
        <v>31</v>
      </c>
      <c r="D19" s="20">
        <v>0</v>
      </c>
      <c r="E19" s="3"/>
      <c r="F19" s="13"/>
      <c r="G19" s="36" t="s">
        <v>41</v>
      </c>
    </row>
    <row r="20" spans="1:7" x14ac:dyDescent="0.2">
      <c r="A20" s="4">
        <v>3.3</v>
      </c>
      <c r="B20" s="29" t="s">
        <v>28</v>
      </c>
      <c r="D20" s="20">
        <v>1</v>
      </c>
      <c r="E20" s="3"/>
      <c r="F20" s="13"/>
    </row>
    <row r="21" spans="1:7" x14ac:dyDescent="0.2">
      <c r="A21" s="4">
        <v>3.4</v>
      </c>
      <c r="B21" s="29" t="s">
        <v>29</v>
      </c>
      <c r="D21" s="3">
        <v>1</v>
      </c>
      <c r="F21" s="13"/>
      <c r="G21" s="30"/>
    </row>
    <row r="22" spans="1:7" x14ac:dyDescent="0.2">
      <c r="B22" s="29"/>
      <c r="F22" s="13"/>
      <c r="G22" s="30"/>
    </row>
    <row r="23" spans="1:7" x14ac:dyDescent="0.2">
      <c r="A23" s="4">
        <v>4</v>
      </c>
      <c r="B23" s="28" t="s">
        <v>23</v>
      </c>
      <c r="C23" s="5">
        <v>1</v>
      </c>
      <c r="D23" s="23">
        <f>AVERAGE(D24:D26)</f>
        <v>1</v>
      </c>
      <c r="E23" s="24">
        <f>D23*C23</f>
        <v>1</v>
      </c>
      <c r="F23" s="25">
        <f>E23/C23</f>
        <v>1</v>
      </c>
    </row>
    <row r="24" spans="1:7" ht="34" x14ac:dyDescent="0.2">
      <c r="A24" s="4">
        <v>4.2</v>
      </c>
      <c r="B24" s="32" t="s">
        <v>32</v>
      </c>
      <c r="D24" s="20">
        <v>1</v>
      </c>
      <c r="F24" s="13"/>
      <c r="G24" s="36" t="s">
        <v>39</v>
      </c>
    </row>
    <row r="25" spans="1:7" x14ac:dyDescent="0.2">
      <c r="A25" s="4">
        <v>4.3</v>
      </c>
      <c r="B25" s="14" t="s">
        <v>22</v>
      </c>
      <c r="D25" s="21">
        <v>1</v>
      </c>
      <c r="E25" s="3"/>
    </row>
    <row r="26" spans="1:7" x14ac:dyDescent="0.2">
      <c r="A26" s="4">
        <v>4.3</v>
      </c>
      <c r="B26" s="32" t="s">
        <v>33</v>
      </c>
      <c r="D26" s="3">
        <v>1</v>
      </c>
      <c r="G26" s="31"/>
    </row>
    <row r="27" spans="1:7" x14ac:dyDescent="0.2">
      <c r="B27" s="32"/>
      <c r="G27" s="31"/>
    </row>
    <row r="28" spans="1:7" x14ac:dyDescent="0.2">
      <c r="A28" s="4">
        <v>6</v>
      </c>
      <c r="B28" s="28" t="s">
        <v>26</v>
      </c>
      <c r="C28" s="5">
        <v>1</v>
      </c>
      <c r="D28" s="23">
        <f>AVERAGE(D29:D31)</f>
        <v>1</v>
      </c>
      <c r="E28" s="24">
        <f>D28*C28</f>
        <v>1</v>
      </c>
      <c r="F28" s="25">
        <f>E28/C28</f>
        <v>1</v>
      </c>
    </row>
    <row r="29" spans="1:7" ht="17" x14ac:dyDescent="0.2">
      <c r="A29" s="4">
        <v>6.1</v>
      </c>
      <c r="B29" s="14" t="s">
        <v>24</v>
      </c>
      <c r="D29" s="21">
        <v>1</v>
      </c>
      <c r="E29" s="3"/>
      <c r="G29" s="31" t="s">
        <v>40</v>
      </c>
    </row>
    <row r="30" spans="1:7" x14ac:dyDescent="0.2">
      <c r="A30" s="4">
        <v>6.2</v>
      </c>
      <c r="B30" s="14" t="s">
        <v>25</v>
      </c>
      <c r="D30" s="21">
        <v>1</v>
      </c>
      <c r="E30" s="3"/>
      <c r="G30" s="31"/>
    </row>
    <row r="31" spans="1:7" x14ac:dyDescent="0.2">
      <c r="A31" s="4">
        <v>6.3</v>
      </c>
      <c r="B31" s="32" t="s">
        <v>34</v>
      </c>
      <c r="D31" s="21">
        <v>1</v>
      </c>
      <c r="E31" s="3"/>
      <c r="G31" s="31"/>
    </row>
    <row r="32" spans="1:7" x14ac:dyDescent="0.2">
      <c r="A32" s="4" t="s">
        <v>7</v>
      </c>
      <c r="C32" s="26">
        <f>SUM(C3:C30)</f>
        <v>5</v>
      </c>
      <c r="D32" s="27"/>
      <c r="E32" s="26">
        <f>SUM(E3:E30)</f>
        <v>4.3333333333333339</v>
      </c>
      <c r="F32" s="25">
        <f>E32/C32</f>
        <v>0.86666666666666681</v>
      </c>
    </row>
    <row r="34" spans="1:7" ht="24" x14ac:dyDescent="0.2">
      <c r="A34" s="8"/>
      <c r="B34" s="15" t="s">
        <v>8</v>
      </c>
      <c r="C34" s="38">
        <f>E32/C32</f>
        <v>0.86666666666666681</v>
      </c>
      <c r="D34" s="39"/>
      <c r="E34" s="39"/>
      <c r="F34" s="40"/>
    </row>
    <row r="35" spans="1:7" s="1" customFormat="1" ht="24" x14ac:dyDescent="0.2">
      <c r="A35" s="8"/>
      <c r="B35" s="15" t="s">
        <v>9</v>
      </c>
      <c r="C35" s="41">
        <f>ROUND(E32*10/(C32*2),0)</f>
        <v>4</v>
      </c>
      <c r="D35" s="42"/>
      <c r="E35" s="42"/>
      <c r="F35" s="43"/>
      <c r="G35" s="16"/>
    </row>
    <row r="36" spans="1:7" ht="51" x14ac:dyDescent="0.2">
      <c r="B36" s="17" t="s">
        <v>42</v>
      </c>
    </row>
    <row r="37" spans="1:7" x14ac:dyDescent="0.2">
      <c r="B37" s="47" t="s">
        <v>10</v>
      </c>
      <c r="C37" s="44" t="s">
        <v>44</v>
      </c>
      <c r="D37" s="45"/>
      <c r="E37" s="46"/>
    </row>
    <row r="38" spans="1:7" x14ac:dyDescent="0.2">
      <c r="B38" s="47"/>
      <c r="C38" s="44"/>
      <c r="D38" s="45"/>
      <c r="E38" s="46"/>
    </row>
    <row r="39" spans="1:7" x14ac:dyDescent="0.2">
      <c r="B39" s="47"/>
      <c r="C39" s="44"/>
      <c r="D39" s="45"/>
      <c r="E39" s="46"/>
    </row>
    <row r="40" spans="1:7" x14ac:dyDescent="0.2">
      <c r="B40" s="4" t="s">
        <v>35</v>
      </c>
      <c r="C40" s="33">
        <v>46188</v>
      </c>
    </row>
  </sheetData>
  <mergeCells count="7">
    <mergeCell ref="A1:G1"/>
    <mergeCell ref="C34:F34"/>
    <mergeCell ref="C35:F35"/>
    <mergeCell ref="C37:E37"/>
    <mergeCell ref="C39:E39"/>
    <mergeCell ref="B37:B39"/>
    <mergeCell ref="C38:E38"/>
  </mergeCells>
  <phoneticPr fontId="1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280FE05F94CBC4EB07165580183CB9C" ma:contentTypeVersion="17" ma:contentTypeDescription="Opret et nyt dokument." ma:contentTypeScope="" ma:versionID="8edba9cffad41ca659f7a0f14727b2a4">
  <xsd:schema xmlns:xsd="http://www.w3.org/2001/XMLSchema" xmlns:xs="http://www.w3.org/2001/XMLSchema" xmlns:p="http://schemas.microsoft.com/office/2006/metadata/properties" xmlns:ns3="ffc92ba4-23da-4f9a-a4bf-597284c4b224" xmlns:ns4="10b09b0a-ed2f-4c7d-b8b9-964357bc0abe" targetNamespace="http://schemas.microsoft.com/office/2006/metadata/properties" ma:root="true" ma:fieldsID="c7a4c2cfa61b8126402813f5c98fe294" ns3:_="" ns4:_="">
    <xsd:import namespace="ffc92ba4-23da-4f9a-a4bf-597284c4b224"/>
    <xsd:import namespace="10b09b0a-ed2f-4c7d-b8b9-964357bc0ab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92ba4-23da-4f9a-a4bf-597284c4b22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værdi for deling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09b0a-ed2f-4c7d-b8b9-964357bc0a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b09b0a-ed2f-4c7d-b8b9-964357bc0abe" xsi:nil="true"/>
  </documentManagement>
</p:properties>
</file>

<file path=customXml/itemProps1.xml><?xml version="1.0" encoding="utf-8"?>
<ds:datastoreItem xmlns:ds="http://schemas.openxmlformats.org/officeDocument/2006/customXml" ds:itemID="{A95446A0-1A63-4FCB-A1EA-DC53A60BA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c92ba4-23da-4f9a-a4bf-597284c4b224"/>
    <ds:schemaRef ds:uri="10b09b0a-ed2f-4c7d-b8b9-964357bc0a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133EEA-FCE0-4FC9-8D03-A58CECBBEA7D}">
  <ds:schemaRefs/>
</ds:datastoreItem>
</file>

<file path=customXml/itemProps3.xml><?xml version="1.0" encoding="utf-8"?>
<ds:datastoreItem xmlns:ds="http://schemas.openxmlformats.org/officeDocument/2006/customXml" ds:itemID="{3B8FE9BA-84F9-4132-82CE-11736D6C04A3}">
  <ds:schemaRefs>
    <ds:schemaRef ds:uri="ffc92ba4-23da-4f9a-a4bf-597284c4b224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10b09b0a-ed2f-4c7d-b8b9-964357bc0ab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Azmat Shir</dc:creator>
  <cp:lastModifiedBy>Mehrosh Mehboob</cp:lastModifiedBy>
  <cp:lastPrinted>2016-08-30T12:28:00Z</cp:lastPrinted>
  <dcterms:created xsi:type="dcterms:W3CDTF">2014-04-17T14:18:00Z</dcterms:created>
  <dcterms:modified xsi:type="dcterms:W3CDTF">2026-07-21T11:40:38Z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0x0101003280FE05F94CBC4EB07165580183CB9C</vt:lpwstr>
  </property>
  <property fmtid="{D5CDD505-2E9C-101B-9397-08002B2CF9AE}" pid="3" name="DL_sAMAccountName">
    <vt:lpwstr>ja</vt:lpwstr>
  </property>
  <property fmtid="{D5CDD505-2E9C-101B-9397-08002B2CF9AE}" pid="4" name="DL_AuthorInitials">
    <vt:lpwstr>ja</vt:lpwstr>
  </property>
  <property fmtid="{D5CDD505-2E9C-101B-9397-08002B2CF9AE}" pid="5" name="fInit">
    <vt:lpwstr>ja</vt:lpwstr>
  </property>
  <property fmtid="{D5CDD505-2E9C-101B-9397-08002B2CF9AE}" pid="6" name="fNavn">
    <vt:lpwstr>Junaid Ahmad</vt:lpwstr>
  </property>
  <property fmtid="{D5CDD505-2E9C-101B-9397-08002B2CF9AE}" pid="7" name="fEpost">
    <vt:lpwstr>junaid.qazi@teo-intl.com</vt:lpwstr>
  </property>
  <property fmtid="{D5CDD505-2E9C-101B-9397-08002B2CF9AE}" pid="8" name="fTitel">
    <vt:lpwstr>Developer</vt:lpwstr>
  </property>
  <property fmtid="{D5CDD505-2E9C-101B-9397-08002B2CF9AE}" pid="9" name="fLogo">
    <vt:lpwstr>http://www.exformatics.com/images/logo_new.jpg</vt:lpwstr>
  </property>
  <property fmtid="{D5CDD505-2E9C-101B-9397-08002B2CF9AE}" pid="10" name="fKontor">
    <vt:lpwstr>Delivery</vt:lpwstr>
  </property>
  <property fmtid="{D5CDD505-2E9C-101B-9397-08002B2CF9AE}" pid="11" name="ICV">
    <vt:lpwstr>FE385DD32A6D47B7B861DAA82609E7FF</vt:lpwstr>
  </property>
  <property fmtid="{D5CDD505-2E9C-101B-9397-08002B2CF9AE}" pid="12" name="KSOProductBuildVer">
    <vt:lpwstr>1033-11.2.0.11306</vt:lpwstr>
  </property>
</Properties>
</file>